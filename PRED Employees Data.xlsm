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minimized="1" xWindow="0" yWindow="0" windowWidth="20490" windowHeight="7650"/>
  </bookViews>
  <sheets>
    <sheet name="Input form" sheetId="1" r:id="rId1"/>
    <sheet name="Data of Employees" sheetId="2" r:id="rId2"/>
    <sheet name="Sheet3" sheetId="3" r:id="rId3"/>
  </sheets>
  <definedNames>
    <definedName name="_xlnm._FilterDatabase" localSheetId="1" hidden="1">'Data of Employees'!$A$2:$J$16</definedName>
    <definedName name="_xlnm.Criteria" localSheetId="2">Sheet3!$A$1:$A$2</definedName>
    <definedName name="_xlnm.Extract" localSheetId="2">Sheet3!$A$7:$J$7</definedName>
  </definedNames>
  <calcPr calcId="162913"/>
  <customWorkbookViews>
    <customWorkbookView name="Bhaskar Rao - Personal View" guid="{29D5228D-5516-40E6-9F93-F7AC61AC27A0}" mergeInterval="0" personalView="1" maximized="1" xWindow="1" yWindow="1" windowWidth="1366" windowHeight="539" activeSheetId="3"/>
  </customWorkbookViews>
</workbook>
</file>

<file path=xl/calcChain.xml><?xml version="1.0" encoding="utf-8"?>
<calcChain xmlns="http://schemas.openxmlformats.org/spreadsheetml/2006/main">
  <c r="D3" i="3" l="1"/>
  <c r="E3" i="3" s="1"/>
  <c r="T29" i="1"/>
  <c r="S29" i="1"/>
  <c r="R29" i="1"/>
  <c r="Q29" i="1"/>
  <c r="P29" i="1"/>
  <c r="O29" i="1"/>
  <c r="N29" i="1"/>
  <c r="M29" i="1"/>
  <c r="L29" i="1"/>
  <c r="K29" i="1"/>
  <c r="H23" i="1"/>
  <c r="H28" i="1" s="1"/>
  <c r="E23" i="1"/>
  <c r="E21" i="1"/>
  <c r="E19" i="1"/>
  <c r="E17" i="1"/>
  <c r="E13" i="1"/>
  <c r="E11" i="1"/>
  <c r="E9" i="1"/>
  <c r="E7" i="1"/>
  <c r="E5" i="1"/>
  <c r="A7" i="1"/>
  <c r="A9" i="1" s="1"/>
  <c r="A11" i="1" s="1"/>
  <c r="A13" i="1" s="1"/>
  <c r="A15" i="1" s="1"/>
  <c r="A17" i="1" s="1"/>
  <c r="A19" i="1" s="1"/>
  <c r="A21" i="1" s="1"/>
  <c r="A23" i="1" s="1"/>
  <c r="G3" i="3" l="1"/>
  <c r="F3" i="3"/>
</calcChain>
</file>

<file path=xl/sharedStrings.xml><?xml version="1.0" encoding="utf-8"?>
<sst xmlns="http://schemas.openxmlformats.org/spreadsheetml/2006/main" count="257" uniqueCount="182">
  <si>
    <t>Name of the New District</t>
  </si>
  <si>
    <t>Name of the Division</t>
  </si>
  <si>
    <t>Name of the Employee</t>
  </si>
  <si>
    <t>Designation</t>
  </si>
  <si>
    <t>Gender</t>
  </si>
  <si>
    <t>Employee ID</t>
  </si>
  <si>
    <t>Cell No</t>
  </si>
  <si>
    <t>Email ID</t>
  </si>
  <si>
    <t>Aadhaar Card No.</t>
  </si>
  <si>
    <t>:</t>
  </si>
  <si>
    <t>Sl.No</t>
  </si>
  <si>
    <t>New District Name</t>
  </si>
  <si>
    <t>Alluri Sita Rama Raju</t>
  </si>
  <si>
    <t>PR Paderu</t>
  </si>
  <si>
    <t>PIU Paderu</t>
  </si>
  <si>
    <t>Anakapally</t>
  </si>
  <si>
    <t>PRI Anakapalli (Erst While PRI Visakhapatnam)</t>
  </si>
  <si>
    <t>PRI Narsipatnam</t>
  </si>
  <si>
    <t>Ananthapur</t>
  </si>
  <si>
    <t>PIU Anantapuram</t>
  </si>
  <si>
    <t>PRI Ananthapuram (PRI Dharmavaram)</t>
  </si>
  <si>
    <t>Annamayya</t>
  </si>
  <si>
    <t>PRI Rajampet</t>
  </si>
  <si>
    <t>PRI Madanapalli</t>
  </si>
  <si>
    <t>PRI Rayachoti (erstwhile PRI Srikakulam)</t>
  </si>
  <si>
    <t>Baptla</t>
  </si>
  <si>
    <t>PRI Bapatla (erstwhile PRI Guntur)</t>
  </si>
  <si>
    <t>Chittoor</t>
  </si>
  <si>
    <t>PIU Chittoor</t>
  </si>
  <si>
    <t>PRI Chittoor</t>
  </si>
  <si>
    <t>East Godavari</t>
  </si>
  <si>
    <t>PRI Rajahmundry</t>
  </si>
  <si>
    <t>Eluru</t>
  </si>
  <si>
    <t>PIU Eluru</t>
  </si>
  <si>
    <t>PRI JANGAREDDY GUGEM</t>
  </si>
  <si>
    <t>PR Nuzvid</t>
  </si>
  <si>
    <t>Gunturu</t>
  </si>
  <si>
    <t>PIU GUNTUR</t>
  </si>
  <si>
    <t>PR Tenali</t>
  </si>
  <si>
    <t>Kakinada</t>
  </si>
  <si>
    <t>PRI Kakinada</t>
  </si>
  <si>
    <t>PIU Kakinada</t>
  </si>
  <si>
    <t>Konaseema</t>
  </si>
  <si>
    <t>PR Amalapuram</t>
  </si>
  <si>
    <t>Krishna</t>
  </si>
  <si>
    <t>PRI Machalipatnam</t>
  </si>
  <si>
    <t>Kurnool</t>
  </si>
  <si>
    <t>PRI Kurnool</t>
  </si>
  <si>
    <t>PRI ADONI</t>
  </si>
  <si>
    <t>Nandhyal</t>
  </si>
  <si>
    <t>PR Nandyal</t>
  </si>
  <si>
    <t>PIU Nandyal</t>
  </si>
  <si>
    <t>NTR</t>
  </si>
  <si>
    <t>PRI Vijayawada</t>
  </si>
  <si>
    <t>PIU Vijayawada</t>
  </si>
  <si>
    <t>Palnadu</t>
  </si>
  <si>
    <t>PRI Narasaraopeta</t>
  </si>
  <si>
    <t>Parvatipuram Manyam</t>
  </si>
  <si>
    <t>PR Palakonda</t>
  </si>
  <si>
    <t>PRI Parvathipuram</t>
  </si>
  <si>
    <t>Prakasam</t>
  </si>
  <si>
    <t>PRI Ongole</t>
  </si>
  <si>
    <t>PRI Markapur</t>
  </si>
  <si>
    <t>PIU Ongole</t>
  </si>
  <si>
    <t>PRI Kandukur</t>
  </si>
  <si>
    <t>PSR Nellore</t>
  </si>
  <si>
    <t>PIU Nellore</t>
  </si>
  <si>
    <t>PR Kavali</t>
  </si>
  <si>
    <t>PRI Nellore</t>
  </si>
  <si>
    <t>Satya Sai</t>
  </si>
  <si>
    <t>PRI Penukonda</t>
  </si>
  <si>
    <t>PIU Puttaparthy (PIU Penukonda)</t>
  </si>
  <si>
    <t>Srikakulam</t>
  </si>
  <si>
    <t>PRI Tekkali</t>
  </si>
  <si>
    <t>PIU Srikakulam</t>
  </si>
  <si>
    <t>Tirupati</t>
  </si>
  <si>
    <t>PRI Gudur</t>
  </si>
  <si>
    <t>PR Tirupati</t>
  </si>
  <si>
    <t>Vijayanagaram</t>
  </si>
  <si>
    <t>PRI Vizianagaram</t>
  </si>
  <si>
    <t>PR PIU Vizianagaram</t>
  </si>
  <si>
    <t>PIU Visakhapatnam</t>
  </si>
  <si>
    <t>West Godavari</t>
  </si>
  <si>
    <t>PIU BHIMAVARAM (ERST WHILE PRI, ELURU)</t>
  </si>
  <si>
    <t>PRI Narsapuram</t>
  </si>
  <si>
    <t>YSR Kadapa</t>
  </si>
  <si>
    <t>PRI Kadapa</t>
  </si>
  <si>
    <t>PIU Badvel (PIU Kadapa)</t>
  </si>
  <si>
    <t>PRI PULIVENDULA</t>
  </si>
  <si>
    <t>PR Jammalamadugu</t>
  </si>
  <si>
    <t>Superintending Engineer</t>
  </si>
  <si>
    <t>DPREO</t>
  </si>
  <si>
    <t>Executive Engineer</t>
  </si>
  <si>
    <t>Dy.Executive Engineer</t>
  </si>
  <si>
    <t>Asst.Executive Engineer</t>
  </si>
  <si>
    <t>Asst.Engineer</t>
  </si>
  <si>
    <t>Works Inspector</t>
  </si>
  <si>
    <t>Technical Officer</t>
  </si>
  <si>
    <t>Section</t>
  </si>
  <si>
    <t>Superintendent</t>
  </si>
  <si>
    <t>Senior Assistant</t>
  </si>
  <si>
    <t>Junior Assistant</t>
  </si>
  <si>
    <t>Technical Assistant</t>
  </si>
  <si>
    <t>Divisional Accounts Officer</t>
  </si>
  <si>
    <t>Data Entry Operator</t>
  </si>
  <si>
    <t>Attender</t>
  </si>
  <si>
    <t>Sanitary Worker</t>
  </si>
  <si>
    <t>Sweeper</t>
  </si>
  <si>
    <t>Watchman</t>
  </si>
  <si>
    <t>Establishment</t>
  </si>
  <si>
    <t>Accounts</t>
  </si>
  <si>
    <t>Mandal Engineer</t>
  </si>
  <si>
    <t>ZP Engineer</t>
  </si>
  <si>
    <t>Services</t>
  </si>
  <si>
    <t>Electrical</t>
  </si>
  <si>
    <t>PMGSY</t>
  </si>
  <si>
    <t>Court Cases</t>
  </si>
  <si>
    <t>Engineer-in-Chief</t>
  </si>
  <si>
    <t>CE PR-I</t>
  </si>
  <si>
    <t>CE PR-II</t>
  </si>
  <si>
    <t>CE Nabard</t>
  </si>
  <si>
    <t>Secretariate</t>
  </si>
  <si>
    <t>DWA</t>
  </si>
  <si>
    <t>Govt.Pleader</t>
  </si>
  <si>
    <t>High Court</t>
  </si>
  <si>
    <t>SQC</t>
  </si>
  <si>
    <t>AIIB</t>
  </si>
  <si>
    <t>Maintenance</t>
  </si>
  <si>
    <t>Correspondence</t>
  </si>
  <si>
    <t>O/O Engineer-in-Chief,Vijayawada</t>
  </si>
  <si>
    <t>Chief Engineer PR-I</t>
  </si>
  <si>
    <t>Chief Engineer PR-II</t>
  </si>
  <si>
    <t>Chief Engineer PR-III</t>
  </si>
  <si>
    <t>Dy.Chief Engineer</t>
  </si>
  <si>
    <t>CAO</t>
  </si>
  <si>
    <t>NTPA</t>
  </si>
  <si>
    <t>Accounts Officer</t>
  </si>
  <si>
    <t>Quality Control</t>
  </si>
  <si>
    <t>Driver</t>
  </si>
  <si>
    <t>usho23day@gmail.com</t>
  </si>
  <si>
    <t>Mobile number should be 10 Digits</t>
  </si>
  <si>
    <t>Employee ID should be 7 Digits</t>
  </si>
  <si>
    <t>Aadhaar No.</t>
  </si>
  <si>
    <t>Aadhaar No should be 12 digits</t>
  </si>
  <si>
    <t>Drop down boxes are there for District,Division,Disignation and Section</t>
  </si>
  <si>
    <t>Submit</t>
  </si>
  <si>
    <t>If  you don't fill any data H28 becomes False</t>
  </si>
  <si>
    <t>if yoy Filled all data H28 becomes TRUE and Then Click Green Button</t>
  </si>
  <si>
    <t>Clear</t>
  </si>
  <si>
    <t>Male</t>
  </si>
  <si>
    <t>District</t>
  </si>
  <si>
    <t>Engineer-in-Chief PRED</t>
  </si>
  <si>
    <t>PRED AP</t>
  </si>
  <si>
    <t>Employee Data Entry Form</t>
  </si>
  <si>
    <t>Employee/Division</t>
  </si>
  <si>
    <t>Write Name first and Sir Name Later</t>
  </si>
  <si>
    <t>Bhaskara Rao.B</t>
  </si>
  <si>
    <t>Ex.Bhaskara rao.B</t>
  </si>
  <si>
    <t>Remarks</t>
  </si>
  <si>
    <t>SL.No.1 is Drop down</t>
  </si>
  <si>
    <t>SL.No.2 is Drop down</t>
  </si>
  <si>
    <t>SL.No.4 is Drop down</t>
  </si>
  <si>
    <t>7 digits</t>
  </si>
  <si>
    <t>10 digits</t>
  </si>
  <si>
    <t>12 digits</t>
  </si>
  <si>
    <t>44 to 127</t>
  </si>
  <si>
    <t>PR</t>
  </si>
  <si>
    <t>PIU</t>
  </si>
  <si>
    <t>Sub-Division</t>
  </si>
  <si>
    <t>Balunaik.B</t>
  </si>
  <si>
    <t>abc@gmail.com</t>
  </si>
  <si>
    <t xml:space="preserve">Fill Name First and Sir Name in the Last </t>
  </si>
  <si>
    <t>Bhaskara rao</t>
  </si>
  <si>
    <t>Mobile No</t>
  </si>
  <si>
    <t>Bhaskara rao.B</t>
  </si>
  <si>
    <t>b</t>
  </si>
  <si>
    <t>Ramanaiah.K</t>
  </si>
  <si>
    <t>Division</t>
  </si>
  <si>
    <t>Designs</t>
  </si>
  <si>
    <t>0121212</t>
  </si>
  <si>
    <t>ramanaiah@gmail.com</t>
  </si>
  <si>
    <t>Bhaskara Rao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</si>
</sst>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000000"/>
    <numFmt numFmtId="165" formatCode="bb\ bb\.\ bb\ \ bb\.\ bbh\a\ bbh\as\k\a\r"/>
    <numFmt numFmtId="166" formatCode="#######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b/>
      <sz val="16"/>
      <color theme="1"/>
      <name val="Arial"/>
      <family val="2"/>
    </font>
    <font>
      <sz val="20"/>
      <color rgb="FFFF000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4"/>
      <color theme="0"/>
      <name val="Arial"/>
      <family val="2"/>
    </font>
    <font>
      <sz val="11"/>
      <color theme="0"/>
      <name val="Arial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57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1" xfId="1" applyBorder="1" applyAlignment="1" applyProtection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0" xfId="0" applyFont="1"/>
    <xf numFmtId="0" fontId="7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15" fillId="4" borderId="6" xfId="0" applyFont="1" applyFill="1" applyBorder="1" applyAlignment="1">
      <alignment horizontal="center" vertical="center"/>
    </xf>
    <xf numFmtId="0" fontId="15" fillId="3" borderId="8" xfId="0" applyFont="1" applyFill="1" applyBorder="1"/>
    <xf numFmtId="0" fontId="15" fillId="3" borderId="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65" fontId="10" fillId="3" borderId="7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0" xfId="0" applyFont="1"/>
    <xf numFmtId="0" fontId="3" fillId="0" borderId="0" xfId="0" applyFont="1"/>
    <xf numFmtId="0" fontId="9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0" fontId="20" fillId="2" borderId="0" xfId="0" applyFont="1" applyFill="1"/>
    <xf numFmtId="0" fontId="20" fillId="0" borderId="0" xfId="0" applyFont="1"/>
    <xf numFmtId="0" fontId="21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/>
    <xf numFmtId="0" fontId="22" fillId="2" borderId="1" xfId="0" applyFont="1" applyFill="1" applyBorder="1"/>
    <xf numFmtId="0" fontId="18" fillId="6" borderId="0" xfId="0" applyFont="1" applyFill="1"/>
    <xf numFmtId="0" fontId="8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6" fontId="8" fillId="0" borderId="1" xfId="0" quotePrefix="1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</font>
      <fill>
        <patternFill>
          <bgColor theme="0" tint="-0.2499465926084170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H$15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CheckBox" checked="Checked" fmlaLink="$H$26" lockText="1" noThreeD="1"/>
</file>

<file path=xl/ctrlProps/ctrlProp4.xml><?xml version="1.0" encoding="utf-8"?>
<formControlPr xmlns="http://schemas.microsoft.com/office/spreadsheetml/2009/9/main" objectType="CheckBox" checked="Checked" fmlaLink="$H$2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14</xdr:row>
          <xdr:rowOff>85725</xdr:rowOff>
        </xdr:from>
        <xdr:to>
          <xdr:col>3</xdr:col>
          <xdr:colOff>1114425</xdr:colOff>
          <xdr:row>14</xdr:row>
          <xdr:rowOff>295275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1628775</xdr:colOff>
          <xdr:row>14</xdr:row>
          <xdr:rowOff>95250</xdr:rowOff>
        </xdr:from>
        <xdr:to>
          <xdr:col>3</xdr:col>
          <xdr:colOff>2571750</xdr:colOff>
          <xdr:row>14</xdr:row>
          <xdr:rowOff>304800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152400</xdr:rowOff>
        </xdr:from>
        <xdr:to>
          <xdr:col>3</xdr:col>
          <xdr:colOff>2305050</xdr:colOff>
          <xdr:row>26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Terms and Conditions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33</xdr:row>
          <xdr:rowOff>161925</xdr:rowOff>
        </xdr:from>
        <xdr:to>
          <xdr:col>8</xdr:col>
          <xdr:colOff>85725</xdr:colOff>
          <xdr:row>34</xdr:row>
          <xdr:rowOff>342900</xdr:rowOff>
        </xdr:to>
        <xdr:pic macro="[0]!Macro3">
          <xdr:nvPicPr>
            <xdr:cNvPr id="1036" name="Picture 12"/>
            <xdr:cNvPicPr>
              <a:picLocks noChangeAspect="1" noChangeArrowheads="1"/>
              <a:extLst>
                <a:ext uri="{84589F7E-364E-4C9E-8A38-B11213B215E9}">
                  <a14:cameraTool cellRange="$H$54" spid="_x0000_s10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86725" y="7715250"/>
              <a:ext cx="809625" cy="3619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34</xdr:row>
          <xdr:rowOff>19050</xdr:rowOff>
        </xdr:from>
        <xdr:to>
          <xdr:col>3</xdr:col>
          <xdr:colOff>962025</xdr:colOff>
          <xdr:row>35</xdr:row>
          <xdr:rowOff>9525</xdr:rowOff>
        </xdr:to>
        <xdr:pic macro="[0]!Macro2">
          <xdr:nvPicPr>
            <xdr:cNvPr id="1037" name="Picture 13"/>
            <xdr:cNvPicPr>
              <a:picLocks noChangeAspect="1" noChangeArrowheads="1"/>
              <a:extLst>
                <a:ext uri="{84589F7E-364E-4C9E-8A38-B11213B215E9}">
                  <a14:cameraTool cellRange="$H$56" spid="_x0000_s10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276600" y="7753350"/>
              <a:ext cx="809625" cy="352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152400</xdr:rowOff>
        </xdr:from>
        <xdr:to>
          <xdr:col>3</xdr:col>
          <xdr:colOff>2305050</xdr:colOff>
          <xdr:row>26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Terms and Conditions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57150</xdr:rowOff>
    </xdr:from>
    <xdr:to>
      <xdr:col>2</xdr:col>
      <xdr:colOff>923925</xdr:colOff>
      <xdr:row>2</xdr:row>
      <xdr:rowOff>161925</xdr:rowOff>
    </xdr:to>
    <xdr:sp macro="[0]!Macro4" textlink="">
      <xdr:nvSpPr>
        <xdr:cNvPr id="2" name="Rectangle 1"/>
        <xdr:cNvSpPr/>
      </xdr:nvSpPr>
      <xdr:spPr>
        <a:xfrm>
          <a:off x="4210050" y="257175"/>
          <a:ext cx="9144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Search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27"/>
  <sheetViews>
    <sheetView tabSelected="1" workbookViewId="0">
      <selection activeCell="D5" sqref="D5"/>
    </sheetView>
  </sheetViews>
  <sheetFormatPr defaultRowHeight="14.25" x14ac:dyDescent="0.2"/>
  <cols>
    <col min="1" max="1" width="8.28515625" style="1" customWidth="1"/>
    <col min="2" max="2" width="35.140625" style="1" customWidth="1"/>
    <col min="3" max="3" width="3.42578125" style="1" customWidth="1"/>
    <col min="4" max="4" width="46" style="1" customWidth="1"/>
    <col min="5" max="5" width="9" style="1" customWidth="1"/>
    <col min="6" max="7" width="9.140625" style="1"/>
    <col min="8" max="8" width="12" style="1" customWidth="1"/>
    <col min="9" max="10" width="9.140625" style="1"/>
    <col min="11" max="11" width="33.28515625" style="1" customWidth="1"/>
    <col min="12" max="12" width="34.28515625" style="1" customWidth="1"/>
    <col min="13" max="13" width="31.42578125" style="1" bestFit="1" customWidth="1"/>
    <col min="14" max="14" width="25" style="1" customWidth="1"/>
    <col min="15" max="15" width="20.7109375" style="1" customWidth="1"/>
    <col min="16" max="16" width="11.140625" style="1" bestFit="1" customWidth="1"/>
    <col min="17" max="17" width="15.42578125" style="1" customWidth="1"/>
    <col min="18" max="18" width="14.5703125" style="1" customWidth="1"/>
    <col min="19" max="19" width="29.140625" style="1" customWidth="1"/>
    <col min="20" max="20" width="20.5703125" style="1" customWidth="1"/>
    <col min="21" max="16384" width="9.140625" style="1"/>
  </cols>
  <sheetData>
    <row r="1" spans="1:11" ht="34.5" customHeight="1" x14ac:dyDescent="0.2">
      <c r="A1" s="53" t="s">
        <v>153</v>
      </c>
      <c r="B1" s="53"/>
      <c r="C1" s="53"/>
      <c r="D1" s="54"/>
    </row>
    <row r="2" spans="1:11" ht="14.25" customHeight="1" x14ac:dyDescent="0.2">
      <c r="A2" s="55"/>
      <c r="B2" s="55"/>
      <c r="C2" s="55"/>
      <c r="D2" s="56"/>
    </row>
    <row r="3" spans="1:11" ht="14.25" customHeight="1" x14ac:dyDescent="0.2">
      <c r="A3" s="55"/>
      <c r="B3" s="55"/>
      <c r="C3" s="55"/>
      <c r="D3" s="56"/>
      <c r="K3" s="32" t="s">
        <v>158</v>
      </c>
    </row>
    <row r="4" spans="1:11" ht="8.25" customHeight="1" x14ac:dyDescent="0.2">
      <c r="B4" s="2"/>
      <c r="C4" s="2"/>
      <c r="D4" s="2"/>
      <c r="K4" s="32"/>
    </row>
    <row r="5" spans="1:11" ht="30" customHeight="1" x14ac:dyDescent="0.35">
      <c r="A5" s="4">
        <v>1</v>
      </c>
      <c r="B5" s="4" t="s">
        <v>0</v>
      </c>
      <c r="C5" s="3" t="s">
        <v>9</v>
      </c>
      <c r="D5" s="42"/>
      <c r="E5" s="7" t="str">
        <f>IF(D5="","*",1)</f>
        <v>*</v>
      </c>
      <c r="K5" s="32" t="s">
        <v>159</v>
      </c>
    </row>
    <row r="6" spans="1:11" ht="7.5" customHeight="1" x14ac:dyDescent="0.2">
      <c r="A6" s="4"/>
      <c r="B6" s="4"/>
      <c r="C6" s="3"/>
      <c r="D6" s="3"/>
      <c r="K6" s="32"/>
    </row>
    <row r="7" spans="1:11" ht="30" customHeight="1" x14ac:dyDescent="0.35">
      <c r="A7" s="4">
        <f>A5+1</f>
        <v>2</v>
      </c>
      <c r="B7" s="4" t="s">
        <v>1</v>
      </c>
      <c r="C7" s="3" t="s">
        <v>9</v>
      </c>
      <c r="D7" s="3"/>
      <c r="E7" s="7" t="str">
        <f>IF(D7="","*",1)</f>
        <v>*</v>
      </c>
      <c r="K7" s="32" t="s">
        <v>160</v>
      </c>
    </row>
    <row r="8" spans="1:11" ht="5.25" customHeight="1" x14ac:dyDescent="0.2">
      <c r="A8" s="4"/>
      <c r="B8" s="4"/>
      <c r="C8" s="3"/>
      <c r="D8" s="3"/>
      <c r="K8" s="32"/>
    </row>
    <row r="9" spans="1:11" ht="35.25" customHeight="1" x14ac:dyDescent="0.35">
      <c r="A9" s="4">
        <f>A7+1</f>
        <v>3</v>
      </c>
      <c r="B9" s="4" t="s">
        <v>2</v>
      </c>
      <c r="C9" s="3" t="s">
        <v>9</v>
      </c>
      <c r="D9" s="3"/>
      <c r="E9" s="7" t="str">
        <f>IF(D9="","*",1)</f>
        <v>*</v>
      </c>
      <c r="K9" s="33" t="s">
        <v>171</v>
      </c>
    </row>
    <row r="10" spans="1:11" ht="12" customHeight="1" x14ac:dyDescent="0.2">
      <c r="A10" s="4"/>
      <c r="B10" s="4"/>
      <c r="C10" s="3"/>
      <c r="D10" s="3"/>
      <c r="K10" s="32"/>
    </row>
    <row r="11" spans="1:11" ht="30" customHeight="1" x14ac:dyDescent="0.35">
      <c r="A11" s="4">
        <f>A9+1</f>
        <v>4</v>
      </c>
      <c r="B11" s="4" t="s">
        <v>3</v>
      </c>
      <c r="C11" s="3"/>
      <c r="D11" s="3"/>
      <c r="E11" s="7" t="str">
        <f>IF(D11="","*",1)</f>
        <v>*</v>
      </c>
      <c r="K11" s="32" t="s">
        <v>161</v>
      </c>
    </row>
    <row r="12" spans="1:11" ht="6" customHeight="1" x14ac:dyDescent="0.2">
      <c r="A12" s="4"/>
      <c r="B12" s="4"/>
      <c r="C12" s="3"/>
      <c r="D12" s="3"/>
      <c r="K12" s="32"/>
    </row>
    <row r="13" spans="1:11" ht="30" customHeight="1" x14ac:dyDescent="0.35">
      <c r="A13" s="4">
        <f>A11+1</f>
        <v>5</v>
      </c>
      <c r="B13" s="4" t="s">
        <v>98</v>
      </c>
      <c r="C13" s="3" t="s">
        <v>9</v>
      </c>
      <c r="D13" s="3"/>
      <c r="E13" s="7" t="str">
        <f>IF(D13="","*",1)</f>
        <v>*</v>
      </c>
      <c r="K13" s="32"/>
    </row>
    <row r="14" spans="1:11" ht="4.5" customHeight="1" x14ac:dyDescent="0.2">
      <c r="A14" s="4"/>
      <c r="B14" s="4"/>
      <c r="C14" s="3"/>
      <c r="D14" s="3"/>
      <c r="K14" s="32"/>
    </row>
    <row r="15" spans="1:11" ht="30" customHeight="1" x14ac:dyDescent="0.2">
      <c r="A15" s="4">
        <f>A13+1</f>
        <v>6</v>
      </c>
      <c r="B15" s="4" t="s">
        <v>4</v>
      </c>
      <c r="C15" s="3" t="s">
        <v>9</v>
      </c>
      <c r="D15" s="3"/>
      <c r="H15" s="13">
        <v>2</v>
      </c>
      <c r="K15" s="32"/>
    </row>
    <row r="16" spans="1:11" ht="6" customHeight="1" x14ac:dyDescent="0.2">
      <c r="A16" s="4"/>
      <c r="B16" s="4"/>
      <c r="C16" s="3"/>
      <c r="D16" s="3"/>
      <c r="K16" s="32"/>
    </row>
    <row r="17" spans="1:20" ht="30" customHeight="1" x14ac:dyDescent="0.35">
      <c r="A17" s="4">
        <f>A15+1</f>
        <v>7</v>
      </c>
      <c r="B17" s="4" t="s">
        <v>5</v>
      </c>
      <c r="C17" s="3" t="s">
        <v>9</v>
      </c>
      <c r="D17" s="52"/>
      <c r="E17" s="7" t="str">
        <f>IF(D17="","*",1)</f>
        <v>*</v>
      </c>
      <c r="K17" s="32" t="s">
        <v>162</v>
      </c>
    </row>
    <row r="18" spans="1:20" ht="4.5" customHeight="1" x14ac:dyDescent="0.2">
      <c r="A18" s="4"/>
      <c r="B18" s="4"/>
      <c r="C18" s="3"/>
      <c r="D18" s="3"/>
      <c r="K18" s="32"/>
    </row>
    <row r="19" spans="1:20" ht="30" customHeight="1" x14ac:dyDescent="0.35">
      <c r="A19" s="4">
        <f>A17+1</f>
        <v>8</v>
      </c>
      <c r="B19" s="4" t="s">
        <v>173</v>
      </c>
      <c r="C19" s="3" t="s">
        <v>9</v>
      </c>
      <c r="D19" s="3"/>
      <c r="E19" s="7" t="str">
        <f>IF(D19="","*",1)</f>
        <v>*</v>
      </c>
      <c r="K19" s="32" t="s">
        <v>163</v>
      </c>
    </row>
    <row r="20" spans="1:20" ht="3.75" customHeight="1" x14ac:dyDescent="0.2">
      <c r="A20" s="4"/>
      <c r="B20" s="4"/>
      <c r="C20" s="3"/>
      <c r="D20" s="3"/>
      <c r="K20" s="32"/>
    </row>
    <row r="21" spans="1:20" ht="30" customHeight="1" x14ac:dyDescent="0.35">
      <c r="A21" s="4">
        <f>A19+1</f>
        <v>9</v>
      </c>
      <c r="B21" s="4" t="s">
        <v>7</v>
      </c>
      <c r="C21" s="3" t="s">
        <v>9</v>
      </c>
      <c r="D21" s="8"/>
      <c r="E21" s="7" t="str">
        <f>IF(D21="","*",1)</f>
        <v>*</v>
      </c>
      <c r="K21" s="32"/>
    </row>
    <row r="22" spans="1:20" ht="6" customHeight="1" x14ac:dyDescent="0.2">
      <c r="A22" s="4"/>
      <c r="B22" s="4"/>
      <c r="C22" s="3"/>
      <c r="D22" s="8"/>
      <c r="K22" s="32"/>
    </row>
    <row r="23" spans="1:20" ht="30" customHeight="1" x14ac:dyDescent="0.35">
      <c r="A23" s="4">
        <f>A21+1</f>
        <v>10</v>
      </c>
      <c r="B23" s="4" t="s">
        <v>142</v>
      </c>
      <c r="C23" s="3" t="s">
        <v>9</v>
      </c>
      <c r="D23" s="6"/>
      <c r="E23" s="7" t="str">
        <f>IF(D23="","*",1)</f>
        <v>*</v>
      </c>
      <c r="H23" s="13">
        <f>COUNTA(D5,D7,D9,D11,D13,D17,D19,D21,D23)</f>
        <v>0</v>
      </c>
      <c r="K23" s="32" t="s">
        <v>164</v>
      </c>
    </row>
    <row r="24" spans="1:20" ht="6" customHeight="1" x14ac:dyDescent="0.2"/>
    <row r="26" spans="1:20" x14ac:dyDescent="0.2">
      <c r="H26" s="1" t="b">
        <v>1</v>
      </c>
    </row>
    <row r="27" spans="1:20" x14ac:dyDescent="0.2">
      <c r="C27" s="13">
        <v>1</v>
      </c>
      <c r="D27" s="15" t="s">
        <v>141</v>
      </c>
    </row>
    <row r="28" spans="1:20" x14ac:dyDescent="0.2">
      <c r="C28" s="13">
        <v>2</v>
      </c>
      <c r="D28" s="15" t="s">
        <v>140</v>
      </c>
      <c r="H28" s="1" t="b">
        <f>AND(H26=TRUE,H23=9)</f>
        <v>0</v>
      </c>
      <c r="K28" s="11" t="s">
        <v>0</v>
      </c>
      <c r="L28" s="11" t="s">
        <v>1</v>
      </c>
      <c r="M28" s="11" t="s">
        <v>2</v>
      </c>
      <c r="N28" s="11" t="s">
        <v>3</v>
      </c>
      <c r="O28" s="11" t="s">
        <v>98</v>
      </c>
      <c r="P28" s="11" t="s">
        <v>4</v>
      </c>
      <c r="Q28" s="11" t="s">
        <v>5</v>
      </c>
      <c r="R28" s="11" t="s">
        <v>6</v>
      </c>
      <c r="S28" s="11" t="s">
        <v>7</v>
      </c>
      <c r="T28" s="11" t="s">
        <v>8</v>
      </c>
    </row>
    <row r="29" spans="1:20" x14ac:dyDescent="0.2">
      <c r="C29" s="13">
        <v>3</v>
      </c>
      <c r="D29" s="15" t="s">
        <v>143</v>
      </c>
      <c r="K29" s="5">
        <f>D5</f>
        <v>0</v>
      </c>
      <c r="L29" s="5">
        <f>D7</f>
        <v>0</v>
      </c>
      <c r="M29" s="5">
        <f>D9</f>
        <v>0</v>
      </c>
      <c r="N29" s="5">
        <f>D11</f>
        <v>0</v>
      </c>
      <c r="O29" s="5">
        <f>D13</f>
        <v>0</v>
      </c>
      <c r="P29" s="5" t="str">
        <f>IF(H15=1,"Female","Male")</f>
        <v>Male</v>
      </c>
      <c r="Q29" s="5">
        <f>D17</f>
        <v>0</v>
      </c>
      <c r="R29" s="5">
        <f>D19</f>
        <v>0</v>
      </c>
      <c r="S29" s="5">
        <f>D21</f>
        <v>0</v>
      </c>
      <c r="T29" s="17">
        <f>D23</f>
        <v>0</v>
      </c>
    </row>
    <row r="30" spans="1:20" ht="28.5" x14ac:dyDescent="0.2">
      <c r="C30" s="13">
        <v>4</v>
      </c>
      <c r="D30" s="16" t="s">
        <v>144</v>
      </c>
    </row>
    <row r="31" spans="1:20" x14ac:dyDescent="0.2">
      <c r="C31" s="12">
        <v>5</v>
      </c>
      <c r="D31" s="1" t="s">
        <v>146</v>
      </c>
    </row>
    <row r="32" spans="1:20" ht="28.5" x14ac:dyDescent="0.2">
      <c r="C32" s="13">
        <v>6</v>
      </c>
      <c r="D32" s="14" t="s">
        <v>147</v>
      </c>
    </row>
    <row r="33" spans="1:11" x14ac:dyDescent="0.2">
      <c r="C33" s="1">
        <v>7</v>
      </c>
      <c r="D33" s="30" t="s">
        <v>155</v>
      </c>
    </row>
    <row r="34" spans="1:11" x14ac:dyDescent="0.2">
      <c r="D34" s="31" t="s">
        <v>157</v>
      </c>
      <c r="G34" s="41"/>
      <c r="H34" s="41"/>
      <c r="I34" s="41"/>
    </row>
    <row r="35" spans="1:11" ht="28.5" customHeight="1" x14ac:dyDescent="0.2">
      <c r="D35" s="43"/>
      <c r="G35" s="41"/>
      <c r="H35" s="41"/>
      <c r="I35" s="41"/>
    </row>
    <row r="36" spans="1:11" x14ac:dyDescent="0.2">
      <c r="G36" s="41"/>
      <c r="H36" s="41"/>
      <c r="I36" s="41"/>
    </row>
    <row r="44" spans="1:11" ht="15" x14ac:dyDescent="0.2">
      <c r="A44" s="34" t="s">
        <v>10</v>
      </c>
      <c r="B44" s="34" t="s">
        <v>11</v>
      </c>
      <c r="C44" s="34"/>
      <c r="D44" s="34" t="s">
        <v>1</v>
      </c>
      <c r="E44" s="35"/>
      <c r="F44" s="35"/>
      <c r="G44" s="35"/>
      <c r="H44" s="35"/>
      <c r="I44" s="35"/>
      <c r="J44" s="35"/>
      <c r="K44" s="36"/>
    </row>
    <row r="45" spans="1:11" ht="15" x14ac:dyDescent="0.2">
      <c r="A45" s="34"/>
      <c r="B45" s="34" t="s">
        <v>52</v>
      </c>
      <c r="C45" s="34"/>
      <c r="D45" s="34" t="s">
        <v>129</v>
      </c>
      <c r="E45" s="35"/>
      <c r="F45" s="35"/>
      <c r="G45" s="35"/>
      <c r="H45" s="35"/>
      <c r="I45" s="35"/>
      <c r="J45" s="35"/>
      <c r="K45" s="36"/>
    </row>
    <row r="46" spans="1:11" ht="15" x14ac:dyDescent="0.2">
      <c r="A46" s="37">
        <v>1</v>
      </c>
      <c r="B46" s="37" t="s">
        <v>12</v>
      </c>
      <c r="C46" s="37">
        <v>1</v>
      </c>
      <c r="D46" s="38" t="s">
        <v>13</v>
      </c>
      <c r="E46" s="35"/>
      <c r="F46" s="35"/>
      <c r="G46" s="35"/>
      <c r="H46" s="35"/>
      <c r="I46" s="35"/>
      <c r="J46" s="35"/>
      <c r="K46" s="36"/>
    </row>
    <row r="47" spans="1:11" ht="15" x14ac:dyDescent="0.2">
      <c r="A47" s="37"/>
      <c r="B47" s="37"/>
      <c r="C47" s="37">
        <v>2</v>
      </c>
      <c r="D47" s="38" t="s">
        <v>14</v>
      </c>
      <c r="E47" s="35"/>
      <c r="F47" s="35"/>
      <c r="G47" s="35"/>
      <c r="H47" s="35"/>
      <c r="I47" s="35"/>
      <c r="J47" s="35"/>
      <c r="K47" s="36"/>
    </row>
    <row r="48" spans="1:11" ht="15" x14ac:dyDescent="0.2">
      <c r="A48" s="37">
        <v>2</v>
      </c>
      <c r="B48" s="37" t="s">
        <v>15</v>
      </c>
      <c r="C48" s="37">
        <v>3</v>
      </c>
      <c r="D48" s="38" t="s">
        <v>16</v>
      </c>
      <c r="E48" s="35"/>
      <c r="F48" s="35"/>
      <c r="G48" s="35"/>
      <c r="H48" s="35"/>
      <c r="I48" s="35"/>
      <c r="J48" s="35"/>
      <c r="K48" s="36"/>
    </row>
    <row r="49" spans="1:11" ht="15" x14ac:dyDescent="0.2">
      <c r="A49" s="37"/>
      <c r="B49" s="37"/>
      <c r="C49" s="37">
        <v>4</v>
      </c>
      <c r="D49" s="38" t="s">
        <v>17</v>
      </c>
      <c r="E49" s="35"/>
      <c r="F49" s="35"/>
      <c r="G49" s="35"/>
      <c r="H49" s="35"/>
      <c r="I49" s="35"/>
      <c r="J49" s="35"/>
      <c r="K49" s="36"/>
    </row>
    <row r="50" spans="1:11" ht="15" x14ac:dyDescent="0.2">
      <c r="A50" s="37">
        <v>3</v>
      </c>
      <c r="B50" s="37" t="s">
        <v>18</v>
      </c>
      <c r="C50" s="37">
        <v>5</v>
      </c>
      <c r="D50" s="38" t="s">
        <v>19</v>
      </c>
      <c r="E50" s="35"/>
      <c r="F50" s="35"/>
      <c r="G50" s="35"/>
      <c r="H50" s="35"/>
      <c r="I50" s="35"/>
      <c r="J50" s="35"/>
      <c r="K50" s="36"/>
    </row>
    <row r="51" spans="1:11" ht="15" x14ac:dyDescent="0.2">
      <c r="A51" s="37"/>
      <c r="B51" s="37"/>
      <c r="C51" s="37">
        <v>6</v>
      </c>
      <c r="D51" s="38" t="s">
        <v>20</v>
      </c>
      <c r="E51" s="35"/>
      <c r="F51" s="35"/>
      <c r="G51" s="35"/>
      <c r="H51" s="35"/>
      <c r="I51" s="35"/>
      <c r="J51" s="35"/>
      <c r="K51" s="36"/>
    </row>
    <row r="52" spans="1:11" ht="15" x14ac:dyDescent="0.2">
      <c r="A52" s="37">
        <v>4</v>
      </c>
      <c r="B52" s="37" t="s">
        <v>21</v>
      </c>
      <c r="C52" s="37">
        <v>7</v>
      </c>
      <c r="D52" s="38" t="s">
        <v>22</v>
      </c>
      <c r="E52" s="35"/>
      <c r="F52" s="35"/>
      <c r="G52" s="35"/>
      <c r="H52" s="35"/>
      <c r="I52" s="35"/>
      <c r="J52" s="35"/>
      <c r="K52" s="36"/>
    </row>
    <row r="53" spans="1:11" ht="15" x14ac:dyDescent="0.2">
      <c r="A53" s="37"/>
      <c r="B53" s="37"/>
      <c r="C53" s="37">
        <v>8</v>
      </c>
      <c r="D53" s="38" t="s">
        <v>23</v>
      </c>
      <c r="E53" s="35"/>
      <c r="F53" s="35"/>
      <c r="G53" s="35"/>
      <c r="H53" s="35"/>
      <c r="I53" s="35"/>
      <c r="J53" s="35"/>
      <c r="K53" s="36"/>
    </row>
    <row r="54" spans="1:11" ht="27.75" customHeight="1" x14ac:dyDescent="0.2">
      <c r="A54" s="37"/>
      <c r="B54" s="37"/>
      <c r="C54" s="37">
        <v>9</v>
      </c>
      <c r="D54" s="38" t="s">
        <v>24</v>
      </c>
      <c r="E54" s="35"/>
      <c r="F54" s="35"/>
      <c r="G54" s="35"/>
      <c r="H54" s="44" t="s">
        <v>145</v>
      </c>
      <c r="I54" s="35"/>
      <c r="J54" s="35"/>
      <c r="K54" s="36"/>
    </row>
    <row r="55" spans="1:11" ht="15.75" thickBot="1" x14ac:dyDescent="0.25">
      <c r="A55" s="37">
        <v>5</v>
      </c>
      <c r="B55" s="37" t="s">
        <v>25</v>
      </c>
      <c r="C55" s="37">
        <v>10</v>
      </c>
      <c r="D55" s="38" t="s">
        <v>26</v>
      </c>
      <c r="E55" s="35"/>
      <c r="F55" s="35"/>
      <c r="G55" s="35"/>
      <c r="H55" s="35"/>
      <c r="I55" s="35"/>
      <c r="J55" s="35"/>
      <c r="K55" s="36"/>
    </row>
    <row r="56" spans="1:11" ht="27" customHeight="1" thickBot="1" x14ac:dyDescent="0.25">
      <c r="A56" s="37">
        <v>6</v>
      </c>
      <c r="B56" s="37" t="s">
        <v>27</v>
      </c>
      <c r="C56" s="37">
        <v>11</v>
      </c>
      <c r="D56" s="38" t="s">
        <v>28</v>
      </c>
      <c r="E56" s="35"/>
      <c r="F56" s="35"/>
      <c r="G56" s="35"/>
      <c r="H56" s="45" t="s">
        <v>148</v>
      </c>
      <c r="I56" s="35"/>
      <c r="J56" s="35"/>
      <c r="K56" s="36"/>
    </row>
    <row r="57" spans="1:11" ht="15" x14ac:dyDescent="0.2">
      <c r="A57" s="37"/>
      <c r="B57" s="37"/>
      <c r="C57" s="37">
        <v>12</v>
      </c>
      <c r="D57" s="38" t="s">
        <v>29</v>
      </c>
      <c r="E57" s="35"/>
      <c r="F57" s="35"/>
      <c r="G57" s="35"/>
      <c r="H57" s="35"/>
      <c r="I57" s="35"/>
      <c r="J57" s="35"/>
      <c r="K57" s="36"/>
    </row>
    <row r="58" spans="1:11" ht="15" x14ac:dyDescent="0.2">
      <c r="A58" s="37">
        <v>7</v>
      </c>
      <c r="B58" s="37" t="s">
        <v>30</v>
      </c>
      <c r="C58" s="37">
        <v>13</v>
      </c>
      <c r="D58" s="38" t="s">
        <v>31</v>
      </c>
      <c r="E58" s="35"/>
      <c r="F58" s="35"/>
      <c r="G58" s="35"/>
      <c r="H58" s="35"/>
      <c r="I58" s="35"/>
      <c r="J58" s="35"/>
      <c r="K58" s="36"/>
    </row>
    <row r="59" spans="1:11" ht="15" x14ac:dyDescent="0.2">
      <c r="A59" s="37">
        <v>8</v>
      </c>
      <c r="B59" s="37" t="s">
        <v>32</v>
      </c>
      <c r="C59" s="37">
        <v>14</v>
      </c>
      <c r="D59" s="38" t="s">
        <v>33</v>
      </c>
      <c r="E59" s="35"/>
      <c r="F59" s="35"/>
      <c r="G59" s="35"/>
      <c r="H59" s="35"/>
      <c r="I59" s="35"/>
      <c r="J59" s="35"/>
      <c r="K59" s="36"/>
    </row>
    <row r="60" spans="1:11" ht="15" x14ac:dyDescent="0.2">
      <c r="A60" s="37"/>
      <c r="B60" s="37"/>
      <c r="C60" s="37">
        <v>15</v>
      </c>
      <c r="D60" s="38" t="s">
        <v>34</v>
      </c>
      <c r="E60" s="35"/>
      <c r="F60" s="35"/>
      <c r="G60" s="35"/>
      <c r="H60" s="35"/>
      <c r="I60" s="35"/>
      <c r="J60" s="35"/>
      <c r="K60" s="36"/>
    </row>
    <row r="61" spans="1:11" ht="15" x14ac:dyDescent="0.2">
      <c r="A61" s="37"/>
      <c r="B61" s="37"/>
      <c r="C61" s="37">
        <v>16</v>
      </c>
      <c r="D61" s="38" t="s">
        <v>35</v>
      </c>
      <c r="E61" s="35"/>
      <c r="F61" s="35"/>
      <c r="G61" s="35"/>
      <c r="H61" s="35"/>
      <c r="I61" s="35"/>
      <c r="J61" s="35"/>
      <c r="K61" s="36"/>
    </row>
    <row r="62" spans="1:11" ht="15" x14ac:dyDescent="0.2">
      <c r="A62" s="37">
        <v>9</v>
      </c>
      <c r="B62" s="37" t="s">
        <v>36</v>
      </c>
      <c r="C62" s="37">
        <v>17</v>
      </c>
      <c r="D62" s="38" t="s">
        <v>37</v>
      </c>
      <c r="E62" s="35"/>
      <c r="F62" s="35"/>
      <c r="G62" s="35"/>
      <c r="H62" s="35"/>
      <c r="I62" s="35"/>
      <c r="J62" s="35"/>
      <c r="K62" s="36"/>
    </row>
    <row r="63" spans="1:11" ht="15" x14ac:dyDescent="0.2">
      <c r="A63" s="37"/>
      <c r="B63" s="37"/>
      <c r="C63" s="37">
        <v>18</v>
      </c>
      <c r="D63" s="38" t="s">
        <v>38</v>
      </c>
      <c r="E63" s="35"/>
      <c r="F63" s="35"/>
      <c r="G63" s="35"/>
      <c r="H63" s="35"/>
      <c r="I63" s="35"/>
      <c r="J63" s="35"/>
      <c r="K63" s="36"/>
    </row>
    <row r="64" spans="1:11" ht="15" x14ac:dyDescent="0.2">
      <c r="A64" s="37">
        <v>10</v>
      </c>
      <c r="B64" s="37" t="s">
        <v>39</v>
      </c>
      <c r="C64" s="37">
        <v>19</v>
      </c>
      <c r="D64" s="38" t="s">
        <v>40</v>
      </c>
      <c r="E64" s="35"/>
      <c r="F64" s="35"/>
      <c r="G64" s="35"/>
      <c r="H64" s="35"/>
      <c r="I64" s="35"/>
      <c r="J64" s="35"/>
      <c r="K64" s="36"/>
    </row>
    <row r="65" spans="1:11" ht="15" x14ac:dyDescent="0.2">
      <c r="A65" s="37"/>
      <c r="B65" s="37"/>
      <c r="C65" s="37">
        <v>20</v>
      </c>
      <c r="D65" s="38" t="s">
        <v>41</v>
      </c>
      <c r="E65" s="35"/>
      <c r="F65" s="35"/>
      <c r="G65" s="35"/>
      <c r="H65" s="35"/>
      <c r="I65" s="35"/>
      <c r="J65" s="35"/>
      <c r="K65" s="36"/>
    </row>
    <row r="66" spans="1:11" ht="15" x14ac:dyDescent="0.2">
      <c r="A66" s="37">
        <v>11</v>
      </c>
      <c r="B66" s="37" t="s">
        <v>42</v>
      </c>
      <c r="C66" s="37">
        <v>21</v>
      </c>
      <c r="D66" s="38" t="s">
        <v>43</v>
      </c>
      <c r="E66" s="35"/>
      <c r="F66" s="35"/>
      <c r="G66" s="35"/>
      <c r="H66" s="35"/>
      <c r="I66" s="35"/>
      <c r="J66" s="35"/>
      <c r="K66" s="36"/>
    </row>
    <row r="67" spans="1:11" ht="15" x14ac:dyDescent="0.2">
      <c r="A67" s="37">
        <v>12</v>
      </c>
      <c r="B67" s="37" t="s">
        <v>44</v>
      </c>
      <c r="C67" s="37">
        <v>22</v>
      </c>
      <c r="D67" s="38" t="s">
        <v>45</v>
      </c>
      <c r="E67" s="35"/>
      <c r="F67" s="35"/>
      <c r="G67" s="35"/>
      <c r="H67" s="35"/>
      <c r="I67" s="35"/>
      <c r="J67" s="35"/>
      <c r="K67" s="36"/>
    </row>
    <row r="68" spans="1:11" ht="15" x14ac:dyDescent="0.2">
      <c r="A68" s="37">
        <v>13</v>
      </c>
      <c r="B68" s="37" t="s">
        <v>46</v>
      </c>
      <c r="C68" s="37">
        <v>23</v>
      </c>
      <c r="D68" s="38" t="s">
        <v>47</v>
      </c>
      <c r="E68" s="35"/>
      <c r="F68" s="35"/>
      <c r="G68" s="35"/>
      <c r="H68" s="35"/>
      <c r="I68" s="35"/>
      <c r="J68" s="35"/>
      <c r="K68" s="36"/>
    </row>
    <row r="69" spans="1:11" ht="15" x14ac:dyDescent="0.2">
      <c r="A69" s="37"/>
      <c r="B69" s="37"/>
      <c r="C69" s="37">
        <v>24</v>
      </c>
      <c r="D69" s="38" t="s">
        <v>48</v>
      </c>
      <c r="E69" s="35"/>
      <c r="F69" s="35"/>
      <c r="G69" s="35"/>
      <c r="H69" s="35"/>
      <c r="I69" s="35"/>
      <c r="J69" s="35"/>
      <c r="K69" s="36"/>
    </row>
    <row r="70" spans="1:11" ht="15" x14ac:dyDescent="0.2">
      <c r="A70" s="37">
        <v>14</v>
      </c>
      <c r="B70" s="37" t="s">
        <v>49</v>
      </c>
      <c r="C70" s="37">
        <v>25</v>
      </c>
      <c r="D70" s="38" t="s">
        <v>50</v>
      </c>
      <c r="E70" s="35"/>
      <c r="F70" s="35"/>
      <c r="G70" s="35"/>
      <c r="H70" s="35"/>
      <c r="I70" s="35"/>
      <c r="J70" s="35"/>
      <c r="K70" s="36"/>
    </row>
    <row r="71" spans="1:11" ht="15" x14ac:dyDescent="0.2">
      <c r="A71" s="37"/>
      <c r="B71" s="37"/>
      <c r="C71" s="37">
        <v>26</v>
      </c>
      <c r="D71" s="38" t="s">
        <v>51</v>
      </c>
      <c r="E71" s="35"/>
      <c r="F71" s="35"/>
      <c r="G71" s="35"/>
      <c r="H71" s="35"/>
      <c r="I71" s="35"/>
      <c r="J71" s="35"/>
      <c r="K71" s="36"/>
    </row>
    <row r="72" spans="1:11" ht="15" x14ac:dyDescent="0.2">
      <c r="A72" s="37">
        <v>15</v>
      </c>
      <c r="B72" s="37" t="s">
        <v>52</v>
      </c>
      <c r="C72" s="37">
        <v>27</v>
      </c>
      <c r="D72" s="38" t="s">
        <v>53</v>
      </c>
      <c r="E72" s="35"/>
      <c r="F72" s="35"/>
      <c r="G72" s="35"/>
      <c r="H72" s="35"/>
      <c r="I72" s="35"/>
      <c r="J72" s="35"/>
      <c r="K72" s="36"/>
    </row>
    <row r="73" spans="1:11" ht="15" x14ac:dyDescent="0.2">
      <c r="A73" s="37"/>
      <c r="B73" s="37"/>
      <c r="C73" s="37">
        <v>28</v>
      </c>
      <c r="D73" s="38" t="s">
        <v>54</v>
      </c>
      <c r="E73" s="35"/>
      <c r="F73" s="35"/>
      <c r="G73" s="35"/>
      <c r="H73" s="35"/>
      <c r="I73" s="35"/>
      <c r="J73" s="35"/>
      <c r="K73" s="36"/>
    </row>
    <row r="74" spans="1:11" ht="15" x14ac:dyDescent="0.2">
      <c r="A74" s="37">
        <v>16</v>
      </c>
      <c r="B74" s="37" t="s">
        <v>55</v>
      </c>
      <c r="C74" s="37">
        <v>29</v>
      </c>
      <c r="D74" s="38" t="s">
        <v>56</v>
      </c>
      <c r="E74" s="35"/>
      <c r="F74" s="35"/>
      <c r="G74" s="35"/>
      <c r="H74" s="35"/>
      <c r="I74" s="35"/>
      <c r="J74" s="35"/>
      <c r="K74" s="36"/>
    </row>
    <row r="75" spans="1:11" ht="15" x14ac:dyDescent="0.2">
      <c r="A75" s="37">
        <v>17</v>
      </c>
      <c r="B75" s="37" t="s">
        <v>57</v>
      </c>
      <c r="C75" s="37">
        <v>30</v>
      </c>
      <c r="D75" s="38" t="s">
        <v>58</v>
      </c>
      <c r="E75" s="35"/>
      <c r="F75" s="35"/>
      <c r="G75" s="35"/>
      <c r="H75" s="35"/>
      <c r="I75" s="35"/>
      <c r="J75" s="35"/>
      <c r="K75" s="36"/>
    </row>
    <row r="76" spans="1:11" ht="15" x14ac:dyDescent="0.2">
      <c r="A76" s="37"/>
      <c r="B76" s="37"/>
      <c r="C76" s="37">
        <v>31</v>
      </c>
      <c r="D76" s="38" t="s">
        <v>59</v>
      </c>
      <c r="E76" s="35"/>
      <c r="F76" s="35"/>
      <c r="G76" s="35"/>
      <c r="H76" s="35"/>
      <c r="I76" s="35"/>
      <c r="J76" s="35"/>
      <c r="K76" s="36"/>
    </row>
    <row r="77" spans="1:11" ht="15" x14ac:dyDescent="0.2">
      <c r="A77" s="37">
        <v>18</v>
      </c>
      <c r="B77" s="37" t="s">
        <v>60</v>
      </c>
      <c r="C77" s="37">
        <v>32</v>
      </c>
      <c r="D77" s="38" t="s">
        <v>61</v>
      </c>
      <c r="E77" s="35"/>
      <c r="F77" s="35"/>
      <c r="G77" s="35"/>
      <c r="H77" s="35"/>
      <c r="I77" s="35"/>
      <c r="J77" s="35"/>
      <c r="K77" s="36"/>
    </row>
    <row r="78" spans="1:11" ht="15" x14ac:dyDescent="0.2">
      <c r="A78" s="37"/>
      <c r="B78" s="37"/>
      <c r="C78" s="37">
        <v>33</v>
      </c>
      <c r="D78" s="38" t="s">
        <v>62</v>
      </c>
      <c r="E78" s="35"/>
      <c r="F78" s="35"/>
      <c r="G78" s="35"/>
      <c r="H78" s="35"/>
      <c r="I78" s="35"/>
      <c r="J78" s="35"/>
      <c r="K78" s="36"/>
    </row>
    <row r="79" spans="1:11" ht="15" x14ac:dyDescent="0.2">
      <c r="A79" s="37"/>
      <c r="B79" s="37"/>
      <c r="C79" s="37">
        <v>34</v>
      </c>
      <c r="D79" s="38" t="s">
        <v>63</v>
      </c>
      <c r="E79" s="35"/>
      <c r="F79" s="35"/>
      <c r="G79" s="35"/>
      <c r="H79" s="35"/>
      <c r="I79" s="35"/>
      <c r="J79" s="35"/>
      <c r="K79" s="36"/>
    </row>
    <row r="80" spans="1:11" ht="15" x14ac:dyDescent="0.2">
      <c r="A80" s="37"/>
      <c r="B80" s="37"/>
      <c r="C80" s="37">
        <v>35</v>
      </c>
      <c r="D80" s="38" t="s">
        <v>64</v>
      </c>
      <c r="E80" s="35"/>
      <c r="F80" s="35"/>
      <c r="G80" s="35"/>
      <c r="H80" s="35"/>
      <c r="I80" s="35"/>
      <c r="J80" s="35"/>
      <c r="K80" s="36"/>
    </row>
    <row r="81" spans="1:11" ht="15" x14ac:dyDescent="0.2">
      <c r="A81" s="37">
        <v>19</v>
      </c>
      <c r="B81" s="37" t="s">
        <v>65</v>
      </c>
      <c r="C81" s="37">
        <v>36</v>
      </c>
      <c r="D81" s="38" t="s">
        <v>66</v>
      </c>
      <c r="E81" s="35"/>
      <c r="F81" s="35"/>
      <c r="G81" s="35"/>
      <c r="H81" s="35"/>
      <c r="I81" s="35"/>
      <c r="J81" s="35"/>
      <c r="K81" s="36"/>
    </row>
    <row r="82" spans="1:11" ht="15" x14ac:dyDescent="0.2">
      <c r="A82" s="37"/>
      <c r="B82" s="37"/>
      <c r="C82" s="37">
        <v>37</v>
      </c>
      <c r="D82" s="38" t="s">
        <v>67</v>
      </c>
      <c r="E82" s="35"/>
      <c r="F82" s="35"/>
      <c r="G82" s="35"/>
      <c r="H82" s="35"/>
      <c r="I82" s="35"/>
      <c r="J82" s="35"/>
      <c r="K82" s="36"/>
    </row>
    <row r="83" spans="1:11" ht="15" x14ac:dyDescent="0.2">
      <c r="A83" s="37"/>
      <c r="B83" s="37"/>
      <c r="C83" s="37">
        <v>38</v>
      </c>
      <c r="D83" s="38" t="s">
        <v>68</v>
      </c>
      <c r="E83" s="35"/>
      <c r="F83" s="35"/>
      <c r="G83" s="35"/>
      <c r="H83" s="35"/>
      <c r="I83" s="35"/>
      <c r="J83" s="35"/>
      <c r="K83" s="36"/>
    </row>
    <row r="84" spans="1:11" ht="15" x14ac:dyDescent="0.2">
      <c r="A84" s="37">
        <v>20</v>
      </c>
      <c r="B84" s="37" t="s">
        <v>69</v>
      </c>
      <c r="C84" s="37">
        <v>39</v>
      </c>
      <c r="D84" s="38" t="s">
        <v>70</v>
      </c>
      <c r="E84" s="35"/>
      <c r="F84" s="35"/>
      <c r="G84" s="35"/>
      <c r="H84" s="35"/>
      <c r="I84" s="35"/>
      <c r="J84" s="35"/>
      <c r="K84" s="36"/>
    </row>
    <row r="85" spans="1:11" ht="15" x14ac:dyDescent="0.2">
      <c r="A85" s="37"/>
      <c r="B85" s="37"/>
      <c r="C85" s="37">
        <v>40</v>
      </c>
      <c r="D85" s="38" t="s">
        <v>71</v>
      </c>
      <c r="E85" s="35"/>
      <c r="F85" s="35"/>
      <c r="G85" s="35"/>
      <c r="H85" s="35"/>
      <c r="I85" s="35"/>
      <c r="J85" s="35"/>
      <c r="K85" s="36"/>
    </row>
    <row r="86" spans="1:11" ht="15" x14ac:dyDescent="0.2">
      <c r="A86" s="37">
        <v>21</v>
      </c>
      <c r="B86" s="37" t="s">
        <v>72</v>
      </c>
      <c r="C86" s="37">
        <v>41</v>
      </c>
      <c r="D86" s="38" t="s">
        <v>73</v>
      </c>
      <c r="E86" s="35"/>
      <c r="F86" s="35"/>
      <c r="G86" s="35"/>
      <c r="H86" s="35"/>
      <c r="I86" s="35"/>
      <c r="J86" s="35"/>
      <c r="K86" s="36"/>
    </row>
    <row r="87" spans="1:11" ht="15" x14ac:dyDescent="0.2">
      <c r="A87" s="37"/>
      <c r="B87" s="37"/>
      <c r="C87" s="37">
        <v>42</v>
      </c>
      <c r="D87" s="38" t="s">
        <v>74</v>
      </c>
      <c r="E87" s="35"/>
      <c r="F87" s="35"/>
      <c r="G87" s="35"/>
      <c r="H87" s="35"/>
      <c r="I87" s="35"/>
      <c r="J87" s="35"/>
      <c r="K87" s="36"/>
    </row>
    <row r="88" spans="1:11" ht="15" x14ac:dyDescent="0.2">
      <c r="A88" s="37">
        <v>22</v>
      </c>
      <c r="B88" s="37" t="s">
        <v>75</v>
      </c>
      <c r="C88" s="37">
        <v>43</v>
      </c>
      <c r="D88" s="38" t="s">
        <v>76</v>
      </c>
      <c r="E88" s="35"/>
      <c r="F88" s="35"/>
      <c r="G88" s="35"/>
      <c r="H88" s="35"/>
      <c r="I88" s="35"/>
      <c r="J88" s="35"/>
      <c r="K88" s="36"/>
    </row>
    <row r="89" spans="1:11" ht="15" x14ac:dyDescent="0.2">
      <c r="A89" s="37"/>
      <c r="B89" s="37"/>
      <c r="C89" s="37">
        <v>44</v>
      </c>
      <c r="D89" s="38" t="s">
        <v>77</v>
      </c>
      <c r="E89" s="35"/>
      <c r="F89" s="35"/>
      <c r="G89" s="35"/>
      <c r="H89" s="35"/>
      <c r="I89" s="35"/>
      <c r="J89" s="35"/>
      <c r="K89" s="36"/>
    </row>
    <row r="90" spans="1:11" ht="15" x14ac:dyDescent="0.2">
      <c r="A90" s="37">
        <v>23</v>
      </c>
      <c r="B90" s="37" t="s">
        <v>78</v>
      </c>
      <c r="C90" s="37">
        <v>45</v>
      </c>
      <c r="D90" s="38" t="s">
        <v>79</v>
      </c>
      <c r="E90" s="35"/>
      <c r="F90" s="35"/>
      <c r="G90" s="35"/>
      <c r="H90" s="35"/>
      <c r="I90" s="35"/>
      <c r="J90" s="35"/>
      <c r="K90" s="36"/>
    </row>
    <row r="91" spans="1:11" ht="15" x14ac:dyDescent="0.2">
      <c r="A91" s="37"/>
      <c r="B91" s="37"/>
      <c r="C91" s="37">
        <v>46</v>
      </c>
      <c r="D91" s="38" t="s">
        <v>80</v>
      </c>
      <c r="E91" s="35"/>
      <c r="F91" s="35"/>
      <c r="G91" s="35"/>
      <c r="H91" s="35"/>
      <c r="I91" s="35"/>
      <c r="J91" s="35"/>
      <c r="K91" s="36"/>
    </row>
    <row r="92" spans="1:11" ht="15" x14ac:dyDescent="0.2">
      <c r="A92" s="37">
        <v>24</v>
      </c>
      <c r="B92" s="37"/>
      <c r="C92" s="37">
        <v>47</v>
      </c>
      <c r="D92" s="38" t="s">
        <v>81</v>
      </c>
      <c r="E92" s="35"/>
      <c r="F92" s="35"/>
      <c r="G92" s="35"/>
      <c r="H92" s="35"/>
      <c r="I92" s="35"/>
      <c r="J92" s="35"/>
      <c r="K92" s="36"/>
    </row>
    <row r="93" spans="1:11" ht="28.5" x14ac:dyDescent="0.2">
      <c r="A93" s="37">
        <v>25</v>
      </c>
      <c r="B93" s="37" t="s">
        <v>82</v>
      </c>
      <c r="C93" s="37">
        <v>48</v>
      </c>
      <c r="D93" s="38" t="s">
        <v>83</v>
      </c>
      <c r="E93" s="35"/>
      <c r="F93" s="35"/>
      <c r="G93" s="35"/>
      <c r="H93" s="35"/>
      <c r="I93" s="35"/>
      <c r="J93" s="35"/>
      <c r="K93" s="36"/>
    </row>
    <row r="94" spans="1:11" ht="15" x14ac:dyDescent="0.2">
      <c r="A94" s="37"/>
      <c r="B94" s="37"/>
      <c r="C94" s="37">
        <v>49</v>
      </c>
      <c r="D94" s="38" t="s">
        <v>84</v>
      </c>
      <c r="E94" s="35"/>
      <c r="F94" s="35"/>
      <c r="G94" s="35"/>
      <c r="H94" s="35"/>
      <c r="I94" s="35"/>
      <c r="J94" s="35"/>
      <c r="K94" s="36"/>
    </row>
    <row r="95" spans="1:11" ht="15" x14ac:dyDescent="0.2">
      <c r="A95" s="37">
        <v>26</v>
      </c>
      <c r="B95" s="37" t="s">
        <v>85</v>
      </c>
      <c r="C95" s="37">
        <v>50</v>
      </c>
      <c r="D95" s="38" t="s">
        <v>86</v>
      </c>
      <c r="E95" s="35"/>
      <c r="F95" s="35"/>
      <c r="G95" s="35"/>
      <c r="H95" s="35"/>
      <c r="I95" s="35"/>
      <c r="J95" s="35"/>
      <c r="K95" s="36"/>
    </row>
    <row r="96" spans="1:11" ht="15" x14ac:dyDescent="0.2">
      <c r="A96" s="37"/>
      <c r="B96" s="37"/>
      <c r="C96" s="37">
        <v>51</v>
      </c>
      <c r="D96" s="38" t="s">
        <v>87</v>
      </c>
      <c r="E96" s="35"/>
      <c r="F96" s="35"/>
      <c r="G96" s="35"/>
      <c r="H96" s="35"/>
      <c r="I96" s="35"/>
      <c r="J96" s="35"/>
      <c r="K96" s="36"/>
    </row>
    <row r="97" spans="1:11" ht="15" x14ac:dyDescent="0.2">
      <c r="A97" s="37"/>
      <c r="B97" s="37"/>
      <c r="C97" s="37">
        <v>52</v>
      </c>
      <c r="D97" s="38" t="s">
        <v>88</v>
      </c>
      <c r="E97" s="35"/>
      <c r="F97" s="35"/>
      <c r="G97" s="35"/>
      <c r="H97" s="35"/>
      <c r="I97" s="35"/>
      <c r="J97" s="35"/>
      <c r="K97" s="36"/>
    </row>
    <row r="98" spans="1:11" ht="15" x14ac:dyDescent="0.2">
      <c r="A98" s="37"/>
      <c r="B98" s="37"/>
      <c r="C98" s="37">
        <v>53</v>
      </c>
      <c r="D98" s="38" t="s">
        <v>89</v>
      </c>
      <c r="E98" s="35"/>
      <c r="F98" s="35"/>
      <c r="G98" s="35"/>
      <c r="H98" s="35"/>
      <c r="I98" s="35"/>
      <c r="J98" s="35"/>
      <c r="K98" s="36"/>
    </row>
    <row r="99" spans="1:11" x14ac:dyDescent="0.2">
      <c r="A99" s="39"/>
      <c r="B99" s="39"/>
      <c r="C99" s="39"/>
      <c r="D99" s="39"/>
      <c r="E99" s="35"/>
      <c r="F99" s="35"/>
      <c r="G99" s="35"/>
      <c r="H99" s="35"/>
      <c r="I99" s="35"/>
      <c r="J99" s="35"/>
      <c r="K99" s="36"/>
    </row>
    <row r="100" spans="1:11" ht="15" x14ac:dyDescent="0.25">
      <c r="A100" s="39"/>
      <c r="B100" s="40" t="s">
        <v>3</v>
      </c>
      <c r="C100" s="39"/>
      <c r="D100" s="40" t="s">
        <v>98</v>
      </c>
      <c r="E100" s="35"/>
      <c r="F100" s="35"/>
      <c r="G100" s="35"/>
      <c r="H100" s="35"/>
      <c r="I100" s="35"/>
      <c r="J100" s="35"/>
      <c r="K100" s="36"/>
    </row>
    <row r="101" spans="1:11" x14ac:dyDescent="0.2">
      <c r="A101" s="39"/>
      <c r="B101" s="39" t="s">
        <v>151</v>
      </c>
      <c r="C101" s="39"/>
      <c r="D101" s="39" t="s">
        <v>111</v>
      </c>
      <c r="E101" s="35"/>
      <c r="F101" s="35"/>
      <c r="G101" s="35"/>
      <c r="H101" s="35"/>
      <c r="I101" s="35"/>
      <c r="J101" s="35"/>
      <c r="K101" s="36"/>
    </row>
    <row r="102" spans="1:11" x14ac:dyDescent="0.2">
      <c r="A102" s="39"/>
      <c r="B102" s="39" t="s">
        <v>130</v>
      </c>
      <c r="C102" s="39"/>
      <c r="D102" s="39" t="s">
        <v>112</v>
      </c>
      <c r="E102" s="35"/>
      <c r="F102" s="35"/>
      <c r="G102" s="35"/>
      <c r="H102" s="35"/>
      <c r="I102" s="35"/>
      <c r="J102" s="35"/>
      <c r="K102" s="36"/>
    </row>
    <row r="103" spans="1:11" x14ac:dyDescent="0.2">
      <c r="A103" s="39"/>
      <c r="B103" s="39" t="s">
        <v>131</v>
      </c>
      <c r="C103" s="39"/>
      <c r="D103" s="39" t="s">
        <v>109</v>
      </c>
      <c r="E103" s="35"/>
      <c r="F103" s="35"/>
      <c r="G103" s="35"/>
      <c r="H103" s="35"/>
      <c r="I103" s="35"/>
      <c r="J103" s="35"/>
      <c r="K103" s="36"/>
    </row>
    <row r="104" spans="1:11" x14ac:dyDescent="0.2">
      <c r="A104" s="39"/>
      <c r="B104" s="39" t="s">
        <v>132</v>
      </c>
      <c r="C104" s="39"/>
      <c r="D104" s="39" t="s">
        <v>110</v>
      </c>
      <c r="E104" s="35"/>
      <c r="F104" s="35"/>
      <c r="G104" s="35"/>
      <c r="H104" s="35"/>
      <c r="I104" s="35"/>
      <c r="J104" s="35"/>
      <c r="K104" s="36"/>
    </row>
    <row r="105" spans="1:11" x14ac:dyDescent="0.2">
      <c r="A105" s="39"/>
      <c r="B105" s="39" t="s">
        <v>133</v>
      </c>
      <c r="C105" s="39"/>
      <c r="D105" s="39" t="s">
        <v>113</v>
      </c>
      <c r="E105" s="35"/>
      <c r="F105" s="35"/>
      <c r="G105" s="35"/>
      <c r="H105" s="35"/>
      <c r="I105" s="35"/>
      <c r="J105" s="35"/>
      <c r="K105" s="36"/>
    </row>
    <row r="106" spans="1:11" x14ac:dyDescent="0.2">
      <c r="A106" s="39"/>
      <c r="B106" s="39" t="s">
        <v>134</v>
      </c>
      <c r="C106" s="39"/>
      <c r="D106" s="39" t="s">
        <v>114</v>
      </c>
      <c r="E106" s="35"/>
      <c r="F106" s="35"/>
      <c r="G106" s="35"/>
      <c r="H106" s="35"/>
      <c r="I106" s="35"/>
      <c r="J106" s="35"/>
      <c r="K106" s="36"/>
    </row>
    <row r="107" spans="1:11" x14ac:dyDescent="0.2">
      <c r="A107" s="39"/>
      <c r="B107" s="39" t="s">
        <v>136</v>
      </c>
      <c r="C107" s="39"/>
      <c r="D107" s="39" t="s">
        <v>115</v>
      </c>
      <c r="E107" s="35"/>
      <c r="F107" s="35"/>
      <c r="G107" s="35"/>
      <c r="H107" s="35"/>
      <c r="I107" s="35"/>
      <c r="J107" s="35"/>
      <c r="K107" s="36"/>
    </row>
    <row r="108" spans="1:11" x14ac:dyDescent="0.2">
      <c r="A108" s="39"/>
      <c r="B108" s="39" t="s">
        <v>135</v>
      </c>
      <c r="C108" s="39"/>
      <c r="D108" s="39" t="s">
        <v>116</v>
      </c>
      <c r="E108" s="35"/>
      <c r="F108" s="35"/>
      <c r="G108" s="35"/>
      <c r="H108" s="35"/>
      <c r="I108" s="35"/>
      <c r="J108" s="35"/>
      <c r="K108" s="36"/>
    </row>
    <row r="109" spans="1:11" x14ac:dyDescent="0.2">
      <c r="A109" s="39"/>
      <c r="B109" s="39" t="s">
        <v>90</v>
      </c>
      <c r="C109" s="39"/>
      <c r="D109" s="39" t="s">
        <v>117</v>
      </c>
      <c r="E109" s="35"/>
      <c r="F109" s="35"/>
      <c r="G109" s="35"/>
      <c r="H109" s="35"/>
      <c r="I109" s="35"/>
      <c r="J109" s="35"/>
      <c r="K109" s="36"/>
    </row>
    <row r="110" spans="1:11" x14ac:dyDescent="0.2">
      <c r="A110" s="39"/>
      <c r="B110" s="39" t="s">
        <v>91</v>
      </c>
      <c r="C110" s="39"/>
      <c r="D110" s="39" t="s">
        <v>118</v>
      </c>
      <c r="E110" s="35"/>
      <c r="F110" s="35"/>
      <c r="G110" s="35"/>
      <c r="H110" s="35"/>
      <c r="I110" s="35"/>
      <c r="J110" s="35"/>
      <c r="K110" s="36"/>
    </row>
    <row r="111" spans="1:11" x14ac:dyDescent="0.2">
      <c r="A111" s="39"/>
      <c r="B111" s="39" t="s">
        <v>92</v>
      </c>
      <c r="C111" s="39"/>
      <c r="D111" s="39" t="s">
        <v>119</v>
      </c>
      <c r="E111" s="35"/>
      <c r="F111" s="35"/>
      <c r="G111" s="35"/>
      <c r="H111" s="35"/>
      <c r="I111" s="35"/>
      <c r="J111" s="35"/>
      <c r="K111" s="36"/>
    </row>
    <row r="112" spans="1:11" x14ac:dyDescent="0.2">
      <c r="A112" s="39"/>
      <c r="B112" s="39" t="s">
        <v>93</v>
      </c>
      <c r="C112" s="39"/>
      <c r="D112" s="39" t="s">
        <v>120</v>
      </c>
      <c r="E112" s="35"/>
      <c r="F112" s="35"/>
      <c r="G112" s="35"/>
      <c r="H112" s="35"/>
      <c r="I112" s="35"/>
      <c r="J112" s="35"/>
      <c r="K112" s="36"/>
    </row>
    <row r="113" spans="1:11" x14ac:dyDescent="0.2">
      <c r="A113" s="39"/>
      <c r="B113" s="39" t="s">
        <v>94</v>
      </c>
      <c r="C113" s="39"/>
      <c r="D113" s="39" t="s">
        <v>121</v>
      </c>
      <c r="E113" s="35"/>
      <c r="F113" s="35"/>
      <c r="G113" s="35"/>
      <c r="H113" s="35"/>
      <c r="I113" s="35"/>
      <c r="J113" s="35"/>
      <c r="K113" s="36"/>
    </row>
    <row r="114" spans="1:11" x14ac:dyDescent="0.2">
      <c r="A114" s="39"/>
      <c r="B114" s="39" t="s">
        <v>95</v>
      </c>
      <c r="C114" s="39"/>
      <c r="D114" s="39" t="s">
        <v>122</v>
      </c>
      <c r="E114" s="35"/>
      <c r="F114" s="35"/>
      <c r="G114" s="35"/>
      <c r="H114" s="35"/>
      <c r="I114" s="35"/>
      <c r="J114" s="35"/>
      <c r="K114" s="36"/>
    </row>
    <row r="115" spans="1:11" x14ac:dyDescent="0.2">
      <c r="A115" s="39"/>
      <c r="B115" s="39" t="s">
        <v>96</v>
      </c>
      <c r="C115" s="39"/>
      <c r="D115" s="39" t="s">
        <v>123</v>
      </c>
      <c r="E115" s="35"/>
      <c r="F115" s="35"/>
      <c r="G115" s="35"/>
      <c r="H115" s="35"/>
      <c r="I115" s="35"/>
      <c r="J115" s="35"/>
      <c r="K115" s="36"/>
    </row>
    <row r="116" spans="1:11" x14ac:dyDescent="0.2">
      <c r="A116" s="39"/>
      <c r="B116" s="39" t="s">
        <v>102</v>
      </c>
      <c r="C116" s="39"/>
      <c r="D116" s="39" t="s">
        <v>124</v>
      </c>
      <c r="E116" s="35"/>
      <c r="F116" s="35"/>
      <c r="G116" s="35"/>
      <c r="H116" s="35"/>
      <c r="I116" s="35"/>
      <c r="J116" s="35"/>
      <c r="K116" s="36"/>
    </row>
    <row r="117" spans="1:11" x14ac:dyDescent="0.2">
      <c r="A117" s="39"/>
      <c r="B117" s="39" t="s">
        <v>97</v>
      </c>
      <c r="C117" s="39"/>
      <c r="D117" s="39" t="s">
        <v>125</v>
      </c>
      <c r="E117" s="35"/>
      <c r="F117" s="35"/>
      <c r="G117" s="35"/>
      <c r="H117" s="35"/>
      <c r="I117" s="35"/>
      <c r="J117" s="35"/>
      <c r="K117" s="36"/>
    </row>
    <row r="118" spans="1:11" x14ac:dyDescent="0.2">
      <c r="A118" s="39"/>
      <c r="B118" s="39" t="s">
        <v>103</v>
      </c>
      <c r="C118" s="39"/>
      <c r="D118" s="39" t="s">
        <v>126</v>
      </c>
      <c r="E118" s="35"/>
      <c r="F118" s="35"/>
      <c r="G118" s="35"/>
      <c r="H118" s="35"/>
      <c r="I118" s="35"/>
      <c r="J118" s="35"/>
      <c r="K118" s="36"/>
    </row>
    <row r="119" spans="1:11" x14ac:dyDescent="0.2">
      <c r="A119" s="39"/>
      <c r="B119" s="39" t="s">
        <v>99</v>
      </c>
      <c r="C119" s="39"/>
      <c r="D119" s="39" t="s">
        <v>127</v>
      </c>
      <c r="E119" s="35"/>
      <c r="F119" s="35"/>
      <c r="G119" s="35"/>
      <c r="H119" s="35"/>
      <c r="I119" s="35"/>
      <c r="J119" s="35"/>
      <c r="K119" s="36"/>
    </row>
    <row r="120" spans="1:11" x14ac:dyDescent="0.2">
      <c r="A120" s="39"/>
      <c r="B120" s="39" t="s">
        <v>100</v>
      </c>
      <c r="C120" s="39"/>
      <c r="D120" s="39" t="s">
        <v>128</v>
      </c>
      <c r="E120" s="35"/>
      <c r="F120" s="35"/>
      <c r="G120" s="35"/>
      <c r="H120" s="35"/>
      <c r="I120" s="35"/>
      <c r="J120" s="35"/>
      <c r="K120" s="36"/>
    </row>
    <row r="121" spans="1:11" x14ac:dyDescent="0.2">
      <c r="A121" s="39"/>
      <c r="B121" s="39" t="s">
        <v>101</v>
      </c>
      <c r="C121" s="39"/>
      <c r="D121" s="39" t="s">
        <v>137</v>
      </c>
      <c r="E121" s="35"/>
      <c r="F121" s="35"/>
      <c r="G121" s="35"/>
      <c r="H121" s="35"/>
      <c r="I121" s="35"/>
      <c r="J121" s="35"/>
      <c r="K121" s="36"/>
    </row>
    <row r="122" spans="1:11" x14ac:dyDescent="0.2">
      <c r="A122" s="39"/>
      <c r="B122" s="39" t="s">
        <v>104</v>
      </c>
      <c r="C122" s="39"/>
      <c r="D122" s="39" t="s">
        <v>152</v>
      </c>
      <c r="E122" s="35"/>
      <c r="F122" s="35"/>
      <c r="G122" s="35"/>
      <c r="H122" s="35"/>
      <c r="I122" s="35"/>
      <c r="J122" s="35"/>
      <c r="K122" s="36"/>
    </row>
    <row r="123" spans="1:11" x14ac:dyDescent="0.2">
      <c r="A123" s="39"/>
      <c r="B123" s="39" t="s">
        <v>105</v>
      </c>
      <c r="C123" s="39"/>
      <c r="D123" s="39" t="s">
        <v>166</v>
      </c>
      <c r="E123" s="35"/>
      <c r="F123" s="35"/>
      <c r="G123" s="35"/>
      <c r="H123" s="35"/>
      <c r="I123" s="35"/>
      <c r="J123" s="35"/>
      <c r="K123" s="36"/>
    </row>
    <row r="124" spans="1:11" x14ac:dyDescent="0.2">
      <c r="A124" s="39"/>
      <c r="B124" s="39" t="s">
        <v>106</v>
      </c>
      <c r="C124" s="39"/>
      <c r="D124" s="39" t="s">
        <v>167</v>
      </c>
      <c r="E124" s="35"/>
      <c r="F124" s="35"/>
      <c r="G124" s="35"/>
      <c r="H124" s="35"/>
      <c r="I124" s="35"/>
      <c r="J124" s="35"/>
      <c r="K124" s="36"/>
    </row>
    <row r="125" spans="1:11" x14ac:dyDescent="0.2">
      <c r="A125" s="39"/>
      <c r="B125" s="39" t="s">
        <v>107</v>
      </c>
      <c r="C125" s="39"/>
      <c r="D125" s="39" t="s">
        <v>168</v>
      </c>
      <c r="E125" s="35"/>
      <c r="F125" s="35"/>
      <c r="G125" s="35"/>
      <c r="H125" s="35"/>
      <c r="I125" s="35"/>
      <c r="J125" s="35"/>
      <c r="K125" s="36"/>
    </row>
    <row r="126" spans="1:11" x14ac:dyDescent="0.2">
      <c r="A126" s="39"/>
      <c r="B126" s="39" t="s">
        <v>108</v>
      </c>
      <c r="C126" s="39"/>
      <c r="D126" s="39" t="s">
        <v>177</v>
      </c>
      <c r="E126" s="35"/>
      <c r="F126" s="35"/>
      <c r="G126" s="35"/>
      <c r="H126" s="35"/>
      <c r="I126" s="35"/>
      <c r="J126" s="35"/>
      <c r="K126" s="36"/>
    </row>
    <row r="127" spans="1:11" x14ac:dyDescent="0.2">
      <c r="A127" s="39"/>
      <c r="B127" s="39" t="s">
        <v>138</v>
      </c>
      <c r="C127" s="39"/>
      <c r="D127" s="39" t="s">
        <v>178</v>
      </c>
      <c r="E127" s="35"/>
      <c r="F127" s="35"/>
      <c r="G127" s="35"/>
      <c r="H127" s="35"/>
      <c r="I127" s="35"/>
      <c r="J127" s="35"/>
      <c r="K127" s="36" t="s">
        <v>165</v>
      </c>
    </row>
  </sheetData>
  <sheetProtection selectLockedCells="1"/>
  <customSheetViews>
    <customSheetView guid="{29D5228D-5516-40E6-9F93-F7AC61AC27A0}">
      <selection activeCell="D5" sqref="D5"/>
      <pageMargins left="0.7" right="0.7" top="0.75" bottom="0.75" header="0.3" footer="0.3"/>
      <pageSetup paperSize="9" orientation="portrait" r:id="rId1"/>
    </customSheetView>
  </customSheetViews>
  <mergeCells count="1">
    <mergeCell ref="A1:D3"/>
  </mergeCells>
  <conditionalFormatting sqref="E5">
    <cfRule type="iconSet" priority="4">
      <iconSet iconSet="3Symbols2" showValue="0">
        <cfvo type="percent" val="0"/>
        <cfvo type="percent" val="0"/>
        <cfvo type="percent" val="1"/>
      </iconSet>
    </cfRule>
  </conditionalFormatting>
  <conditionalFormatting sqref="E7 E9 E11 E13 E17 E19 E21 E23">
    <cfRule type="iconSet" priority="3">
      <iconSet iconSet="3Symbols2" showValue="0">
        <cfvo type="percent" val="0"/>
        <cfvo type="percent" val="0"/>
        <cfvo type="percent" val="1"/>
      </iconSet>
    </cfRule>
  </conditionalFormatting>
  <conditionalFormatting sqref="D5 D7 D9 D11 D13 D17 D19 D21 D23">
    <cfRule type="containsBlanks" dxfId="1" priority="2">
      <formula>LEN(TRIM(D5))=0</formula>
    </cfRule>
  </conditionalFormatting>
  <conditionalFormatting sqref="H54">
    <cfRule type="expression" dxfId="0" priority="1">
      <formula>$H$28=TRUE</formula>
    </cfRule>
  </conditionalFormatting>
  <dataValidations count="6">
    <dataValidation type="list" allowBlank="1" showInputMessage="1" showErrorMessage="1" sqref="D5">
      <formula1>$B$46:$B$98</formula1>
    </dataValidation>
    <dataValidation type="list" allowBlank="1" showInputMessage="1" showErrorMessage="1" sqref="D7">
      <formula1>$D$45:$D$98</formula1>
    </dataValidation>
    <dataValidation type="list" allowBlank="1" showInputMessage="1" showErrorMessage="1" sqref="D11">
      <formula1>$B$100:$B$127</formula1>
    </dataValidation>
    <dataValidation type="list" allowBlank="1" showInputMessage="1" showErrorMessage="1" sqref="D13">
      <formula1>$D$100:$D$127</formula1>
    </dataValidation>
    <dataValidation type="textLength" operator="equal" allowBlank="1" showInputMessage="1" showErrorMessage="1" sqref="D19">
      <formula1>10</formula1>
    </dataValidation>
    <dataValidation type="textLength" operator="equal" allowBlank="1" showInputMessage="1" showErrorMessage="1" sqref="D23">
      <formula1>12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Option Button 7">
              <controlPr defaultSize="0" autoFill="0" autoLine="0" autoPict="0">
                <anchor moveWithCells="1">
                  <from>
                    <xdr:col>3</xdr:col>
                    <xdr:colOff>171450</xdr:colOff>
                    <xdr:row>14</xdr:row>
                    <xdr:rowOff>85725</xdr:rowOff>
                  </from>
                  <to>
                    <xdr:col>3</xdr:col>
                    <xdr:colOff>1114425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>
                <anchor moveWithCells="1">
                  <from>
                    <xdr:col>3</xdr:col>
                    <xdr:colOff>1628775</xdr:colOff>
                    <xdr:row>14</xdr:row>
                    <xdr:rowOff>95250</xdr:rowOff>
                  </from>
                  <to>
                    <xdr:col>3</xdr:col>
                    <xdr:colOff>2571750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152400</xdr:rowOff>
                  </from>
                  <to>
                    <xdr:col>3</xdr:col>
                    <xdr:colOff>2305050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152400</xdr:rowOff>
                  </from>
                  <to>
                    <xdr:col>3</xdr:col>
                    <xdr:colOff>2305050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7"/>
  <sheetViews>
    <sheetView workbookViewId="0">
      <selection activeCell="L7" sqref="L7"/>
    </sheetView>
  </sheetViews>
  <sheetFormatPr defaultRowHeight="15" x14ac:dyDescent="0.25"/>
  <cols>
    <col min="1" max="1" width="25.28515625" customWidth="1"/>
    <col min="2" max="2" width="36.140625" customWidth="1"/>
    <col min="3" max="3" width="32.5703125" customWidth="1"/>
    <col min="4" max="4" width="23.28515625" customWidth="1"/>
    <col min="5" max="5" width="19" customWidth="1"/>
    <col min="6" max="6" width="17.140625" customWidth="1"/>
    <col min="7" max="7" width="18.85546875" customWidth="1"/>
    <col min="8" max="8" width="23.42578125" customWidth="1"/>
    <col min="9" max="9" width="23" customWidth="1"/>
    <col min="10" max="10" width="25" bestFit="1" customWidth="1"/>
  </cols>
  <sheetData>
    <row r="2" spans="1:11" ht="15.75" x14ac:dyDescent="0.25">
      <c r="A2" s="26" t="s">
        <v>150</v>
      </c>
      <c r="B2" s="26" t="s">
        <v>1</v>
      </c>
      <c r="C2" s="26" t="s">
        <v>2</v>
      </c>
      <c r="D2" s="26" t="s">
        <v>3</v>
      </c>
      <c r="E2" s="26" t="s">
        <v>98</v>
      </c>
      <c r="F2" s="26" t="s">
        <v>4</v>
      </c>
      <c r="G2" s="26" t="s">
        <v>5</v>
      </c>
      <c r="H2" s="26" t="s">
        <v>6</v>
      </c>
      <c r="I2" s="26" t="s">
        <v>7</v>
      </c>
      <c r="J2" s="26" t="s">
        <v>8</v>
      </c>
      <c r="K2" s="10"/>
    </row>
    <row r="3" spans="1:11" x14ac:dyDescent="0.25">
      <c r="A3" s="46" t="s">
        <v>52</v>
      </c>
      <c r="B3" s="46" t="s">
        <v>129</v>
      </c>
      <c r="C3" s="46" t="s">
        <v>169</v>
      </c>
      <c r="D3" s="46" t="s">
        <v>151</v>
      </c>
      <c r="E3" s="46" t="s">
        <v>117</v>
      </c>
      <c r="F3" s="46" t="s">
        <v>149</v>
      </c>
      <c r="G3" s="46">
        <v>1234567</v>
      </c>
      <c r="H3" s="46">
        <v>8790059555</v>
      </c>
      <c r="I3" s="46" t="s">
        <v>170</v>
      </c>
      <c r="J3" s="47">
        <v>222222222222</v>
      </c>
    </row>
    <row r="4" spans="1:11" x14ac:dyDescent="0.25">
      <c r="A4" s="50" t="s">
        <v>52</v>
      </c>
      <c r="B4" s="50" t="s">
        <v>129</v>
      </c>
      <c r="C4" s="50" t="s">
        <v>172</v>
      </c>
      <c r="D4" s="50" t="s">
        <v>93</v>
      </c>
      <c r="E4" s="50" t="s">
        <v>115</v>
      </c>
      <c r="F4" s="50" t="s">
        <v>149</v>
      </c>
      <c r="G4" s="50">
        <v>165672</v>
      </c>
      <c r="H4" s="50">
        <v>8790077016</v>
      </c>
      <c r="I4" s="50" t="s">
        <v>139</v>
      </c>
      <c r="J4" s="51">
        <v>596384343343</v>
      </c>
    </row>
    <row r="5" spans="1:11" x14ac:dyDescent="0.25">
      <c r="A5" s="50" t="s">
        <v>52</v>
      </c>
      <c r="B5" s="50" t="s">
        <v>129</v>
      </c>
      <c r="C5" s="50" t="s">
        <v>174</v>
      </c>
      <c r="D5" s="50" t="s">
        <v>93</v>
      </c>
      <c r="E5" s="50" t="s">
        <v>115</v>
      </c>
      <c r="F5" s="50" t="s">
        <v>149</v>
      </c>
      <c r="G5" s="50">
        <v>121212</v>
      </c>
      <c r="H5" s="50">
        <v>8790077016</v>
      </c>
      <c r="I5" s="50" t="s">
        <v>139</v>
      </c>
      <c r="J5" s="51">
        <v>596384243343</v>
      </c>
    </row>
    <row r="6" spans="1:11" x14ac:dyDescent="0.25">
      <c r="A6" s="50" t="s">
        <v>52</v>
      </c>
      <c r="B6" s="50" t="s">
        <v>129</v>
      </c>
      <c r="C6" s="50" t="s">
        <v>176</v>
      </c>
      <c r="D6" s="50" t="s">
        <v>94</v>
      </c>
      <c r="E6" s="50" t="s">
        <v>178</v>
      </c>
      <c r="F6" s="50" t="s">
        <v>149</v>
      </c>
      <c r="G6" s="50" t="s">
        <v>179</v>
      </c>
      <c r="H6" s="50">
        <v>8787879787</v>
      </c>
      <c r="I6" s="50" t="s">
        <v>180</v>
      </c>
      <c r="J6" s="51">
        <v>242424242424</v>
      </c>
    </row>
    <row r="7" spans="1:11" x14ac:dyDescent="0.25">
      <c r="A7" s="48" t="s">
        <v>52</v>
      </c>
      <c r="B7" s="48" t="s">
        <v>129</v>
      </c>
      <c r="C7" s="48" t="s">
        <v>181</v>
      </c>
      <c r="D7" s="48" t="s">
        <v>93</v>
      </c>
      <c r="E7" s="48" t="s">
        <v>115</v>
      </c>
      <c r="F7" s="48" t="s">
        <v>149</v>
      </c>
      <c r="G7" s="48">
        <v>1954692</v>
      </c>
      <c r="H7" s="48">
        <v>8790077016</v>
      </c>
      <c r="I7" s="48" t="s">
        <v>139</v>
      </c>
      <c r="J7" s="49">
        <v>596384243343</v>
      </c>
    </row>
  </sheetData>
  <customSheetViews>
    <customSheetView guid="{29D5228D-5516-40E6-9F93-F7AC61AC27A0}">
      <selection activeCell="A2" sqref="A2:J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"/>
  <sheetViews>
    <sheetView workbookViewId="0">
      <selection activeCell="A3" sqref="A3"/>
    </sheetView>
  </sheetViews>
  <sheetFormatPr defaultRowHeight="15" x14ac:dyDescent="0.25"/>
  <cols>
    <col min="1" max="1" width="26.85546875" customWidth="1"/>
    <col min="2" max="2" width="36.140625" customWidth="1"/>
    <col min="3" max="3" width="32.5703125" customWidth="1"/>
    <col min="4" max="4" width="23.28515625" customWidth="1"/>
    <col min="5" max="5" width="19" customWidth="1"/>
    <col min="6" max="6" width="17.140625" customWidth="1"/>
    <col min="7" max="7" width="18.85546875" customWidth="1"/>
    <col min="8" max="8" width="23.42578125" customWidth="1"/>
    <col min="9" max="9" width="23" customWidth="1"/>
    <col min="10" max="10" width="25" bestFit="1" customWidth="1"/>
  </cols>
  <sheetData>
    <row r="1" spans="1:10" ht="21" customHeight="1" thickBot="1" x14ac:dyDescent="0.3">
      <c r="A1" s="22" t="s">
        <v>2</v>
      </c>
    </row>
    <row r="2" spans="1:10" ht="16.5" customHeight="1" thickBot="1" x14ac:dyDescent="0.3">
      <c r="A2" s="27" t="s">
        <v>175</v>
      </c>
      <c r="D2" s="23" t="s">
        <v>154</v>
      </c>
      <c r="E2" s="24" t="s">
        <v>5</v>
      </c>
      <c r="F2" s="24" t="s">
        <v>6</v>
      </c>
      <c r="G2" s="25" t="s">
        <v>7</v>
      </c>
    </row>
    <row r="3" spans="1:10" x14ac:dyDescent="0.25">
      <c r="D3" t="str">
        <f>IF(A1=B7,B8,C8)</f>
        <v>Bhaskara Rao.B</v>
      </c>
      <c r="E3">
        <f>IF(D3=C8,G8,0)</f>
        <v>1954692</v>
      </c>
      <c r="F3">
        <f>IF(D3=C8,H8,0)</f>
        <v>8790077016</v>
      </c>
      <c r="G3" t="str">
        <f>IF(D3=C8,I8,0)</f>
        <v>usho23day@gmail.com</v>
      </c>
    </row>
    <row r="7" spans="1:10" ht="15.75" x14ac:dyDescent="0.25">
      <c r="A7" s="9" t="s">
        <v>150</v>
      </c>
      <c r="B7" s="9" t="s">
        <v>1</v>
      </c>
      <c r="C7" s="9" t="s">
        <v>2</v>
      </c>
      <c r="D7" s="9" t="s">
        <v>3</v>
      </c>
      <c r="E7" s="9" t="s">
        <v>98</v>
      </c>
      <c r="F7" s="9" t="s">
        <v>4</v>
      </c>
      <c r="G7" s="9" t="s">
        <v>5</v>
      </c>
      <c r="H7" s="9" t="s">
        <v>6</v>
      </c>
      <c r="I7" s="9" t="s">
        <v>7</v>
      </c>
      <c r="J7" s="9" t="s">
        <v>8</v>
      </c>
    </row>
    <row r="8" spans="1:10" x14ac:dyDescent="0.25">
      <c r="A8" s="28" t="s">
        <v>52</v>
      </c>
      <c r="B8" s="28" t="s">
        <v>129</v>
      </c>
      <c r="C8" s="28" t="s">
        <v>156</v>
      </c>
      <c r="D8" s="28" t="s">
        <v>93</v>
      </c>
      <c r="E8" s="28" t="s">
        <v>115</v>
      </c>
      <c r="F8" s="28" t="s">
        <v>149</v>
      </c>
      <c r="G8" s="28">
        <v>1954692</v>
      </c>
      <c r="H8" s="28">
        <v>8790077016</v>
      </c>
      <c r="I8" s="28" t="s">
        <v>139</v>
      </c>
      <c r="J8" s="29">
        <v>596384243343</v>
      </c>
    </row>
    <row r="9" spans="1:10" x14ac:dyDescent="0.25">
      <c r="A9" s="19"/>
      <c r="B9" s="19"/>
      <c r="C9" s="19"/>
      <c r="D9" s="19"/>
      <c r="E9" s="19"/>
      <c r="F9" s="19"/>
      <c r="G9" s="19"/>
      <c r="H9" s="19"/>
      <c r="I9" s="19"/>
      <c r="J9" s="18"/>
    </row>
    <row r="10" spans="1:10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8"/>
    </row>
    <row r="11" spans="1:10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1"/>
    </row>
  </sheetData>
  <customSheetViews>
    <customSheetView guid="{29D5228D-5516-40E6-9F93-F7AC61AC27A0}">
      <selection activeCell="B3" sqref="B3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 form</vt:lpstr>
      <vt:lpstr>Data of Employees</vt:lpstr>
      <vt:lpstr>Sheet3</vt:lpstr>
      <vt:lpstr>Sheet3!Criteria</vt:lpstr>
      <vt:lpstr>Sheet3!Extract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2023-04-30T16:25:07Z</dcterms:modified>
</cp:coreProperties>
</file>